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267" documentId="11_2779F9B2FCDC5B6E264834899AD3CC78A628D2C5" xr6:coauthVersionLast="47" xr6:coauthVersionMax="47" xr10:uidLastSave="{87BA9AC6-857A-4B3B-8FF7-E2D522245950}"/>
  <bookViews>
    <workbookView xWindow="0" yWindow="0" windowWidth="19155" windowHeight="7080" firstSheet="2" activeTab="1" xr2:uid="{2ACB6078-E7FC-41CF-A5D9-B1E5E9B37327}"/>
  </bookViews>
  <sheets>
    <sheet name="Biggest Atlantic Hurricanes" sheetId="1" r:id="rId1"/>
    <sheet name="Day3 - Task2" sheetId="3" r:id="rId2"/>
    <sheet name="Sheet1" sheetId="2" r:id="rId3"/>
  </sheets>
  <calcPr calcId="191028"/>
  <pivotCaches>
    <pivotCache cacheId="29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/>
  <c r="D3" i="2" a="1"/>
  <c r="D3" i="2"/>
  <c r="D4" i="2" a="1"/>
  <c r="D4" i="2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G4" i="2" a="1"/>
  <c r="G4" i="2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4" i="1" a="1"/>
  <c r="F4" i="1"/>
  <c r="E25" i="1" a="1"/>
  <c r="E25" i="1"/>
  <c r="E26" i="1" a="1"/>
  <c r="E26" i="1"/>
  <c r="E27" i="1" a="1"/>
  <c r="E27" i="1"/>
  <c r="E28" i="1" a="1"/>
  <c r="E28" i="1"/>
  <c r="E29" i="1" a="1"/>
  <c r="E29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<sst xmlns="http://schemas.openxmlformats.org/spreadsheetml/2006/main" count="97" uniqueCount="71">
  <si>
    <t>Biggest Atlantic Hurricanes</t>
  </si>
  <si>
    <t>Name</t>
  </si>
  <si>
    <t>Start Date</t>
  </si>
  <si>
    <t>Damage 
(USD 
Millions)</t>
  </si>
  <si>
    <t>Category*</t>
  </si>
  <si>
    <t>Max Wind Speed (mph)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</si>
  <si>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</si>
  <si>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</si>
  <si>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</si>
  <si>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</si>
  <si>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</si>
  <si>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</si>
  <si>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</si>
  <si>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</si>
  <si>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</si>
  <si>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</si>
  <si>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</si>
  <si>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</si>
  <si>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</si>
  <si>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</si>
  <si>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</si>
  <si>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</si>
  <si>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</si>
  <si>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</si>
  <si>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</si>
  <si>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</si>
  <si>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</si>
  <si>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</si>
  <si>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</si>
  <si>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</si>
  <si>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</si>
  <si>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</si>
  <si>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</si>
  <si>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</si>
  <si>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</si>
  <si>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</si>
  <si>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</si>
  <si>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</si>
  <si>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</si>
  <si>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</si>
  <si>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</si>
  <si>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</si>
  <si>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</si>
  <si>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</si>
  <si>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</si>
  <si>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</si>
  <si>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</si>
  <si>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</si>
  <si>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</si>
  <si>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</si>
  <si>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</si>
  <si>
    <t>Count of Sales Volume </t>
  </si>
  <si>
    <t>Product </t>
  </si>
  <si>
    <t>County </t>
  </si>
  <si>
    <t>Laptops </t>
  </si>
  <si>
    <t>Printers </t>
  </si>
  <si>
    <t>Smartphones </t>
  </si>
  <si>
    <t>Grand Total</t>
  </si>
  <si>
    <t>Cornwall </t>
  </si>
  <si>
    <t>Durham </t>
  </si>
  <si>
    <t>Essex </t>
  </si>
  <si>
    <t>Greater Manchester </t>
  </si>
  <si>
    <t>Lancashire </t>
  </si>
  <si>
    <t>Yorkshire </t>
  </si>
  <si>
    <r>
      <t>County</t>
    </r>
    <r>
      <rPr>
        <sz val="12"/>
        <rFont val="Segoe UI"/>
        <charset val="1"/>
      </rPr>
      <t> </t>
    </r>
  </si>
  <si>
    <r>
      <t>Product</t>
    </r>
    <r>
      <rPr>
        <sz val="12"/>
        <rFont val="Segoe UI"/>
        <charset val="1"/>
      </rPr>
      <t> </t>
    </r>
  </si>
  <si>
    <r>
      <t>Sales Volume</t>
    </r>
    <r>
      <rPr>
        <sz val="12"/>
        <rFont val="Segoe UI"/>
        <charset val="1"/>
      </rPr>
      <t> </t>
    </r>
  </si>
  <si>
    <t xml:space="preserve">Sales 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</si>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</sst>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12"/>
      <name val="Segoe UI"/>
      <charset val="1"/>
    </font>
    <font>
      <b/>
      <sz val="12"/>
      <name val="Segoe UI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21">
    <xf numFmtId="0" fontId="0" fillId="0" borderId="0" xfId="0"/>
    <xf numFmtId="0" fontId="2" fillId="0" borderId="0" xfId="2"/>
    <xf numFmtId="0" fontId="3" fillId="0" borderId="1" xfId="3" applyAlignment="1">
      <alignment wrapText="1"/>
    </xf>
    <xf numFmtId="0" fontId="0" fillId="0" borderId="0" xfId="0" applyAlignment="1">
      <alignment horizontal="right"/>
    </xf>
    <xf numFmtId="0" fontId="3" fillId="0" borderId="1" xfId="3" applyAlignment="1">
      <alignment horizontal="right" wrapText="1"/>
    </xf>
    <xf numFmtId="0" fontId="0" fillId="0" borderId="0" xfId="0" applyAlignment="1">
      <alignment horizontal="right" indent="1"/>
    </xf>
    <xf numFmtId="0" fontId="3" fillId="0" borderId="1" xfId="3" applyAlignment="1">
      <alignment horizontal="right" wrapText="1" indent="1"/>
    </xf>
    <xf numFmtId="41" fontId="0" fillId="0" borderId="0" xfId="1" applyFont="1" applyAlignment="1">
      <alignment horizontal="right" indent="1"/>
    </xf>
    <xf numFmtId="0" fontId="3" fillId="0" borderId="1" xfId="3" applyAlignment="1">
      <alignment horizontal="right" indent="1"/>
    </xf>
    <xf numFmtId="0" fontId="5" fillId="0" borderId="2" xfId="0" applyFont="1" applyBorder="1" applyAlignment="1">
      <alignment wrapText="1" readingOrder="1"/>
    </xf>
    <xf numFmtId="0" fontId="5" fillId="0" borderId="3" xfId="0" applyFont="1" applyBorder="1" applyAlignment="1">
      <alignment wrapText="1" readingOrder="1"/>
    </xf>
    <xf numFmtId="0" fontId="4" fillId="0" borderId="5" xfId="0" applyFont="1" applyBorder="1" applyAlignment="1">
      <alignment wrapText="1" readingOrder="1"/>
    </xf>
    <xf numFmtId="0" fontId="4" fillId="0" borderId="6" xfId="0" applyFont="1" applyBorder="1" applyAlignment="1">
      <alignment wrapText="1" readingOrder="1"/>
    </xf>
    <xf numFmtId="0" fontId="4" fillId="0" borderId="8" xfId="0" applyFont="1" applyBorder="1" applyAlignment="1">
      <alignment wrapText="1" readingOrder="1"/>
    </xf>
    <xf numFmtId="0" fontId="4" fillId="0" borderId="9" xfId="0" applyFont="1" applyBorder="1" applyAlignment="1">
      <alignment wrapText="1" readingOrder="1"/>
    </xf>
    <xf numFmtId="0" fontId="0" fillId="0" borderId="0" xfId="0" pivotButton="1"/>
    <xf numFmtId="0" fontId="6" fillId="0" borderId="0" xfId="0" applyFont="1"/>
    <xf numFmtId="0" fontId="5" fillId="0" borderId="4" xfId="0" applyFont="1" applyBorder="1" applyAlignment="1">
      <alignment horizontal="right" wrapText="1" readingOrder="1"/>
    </xf>
    <xf numFmtId="2" fontId="4" fillId="0" borderId="7" xfId="0" applyNumberFormat="1" applyFont="1" applyBorder="1" applyAlignment="1">
      <alignment horizontal="right" wrapText="1" readingOrder="1"/>
    </xf>
    <xf numFmtId="2" fontId="4" fillId="0" borderId="10" xfId="0" applyNumberFormat="1" applyFont="1" applyBorder="1" applyAlignment="1">
      <alignment horizontal="right" wrapText="1" readingOrder="1"/>
    </xf>
    <xf numFmtId="49" fontId="0" fillId="0" borderId="0" xfId="0" applyNumberFormat="1"/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9.447887152775" createdVersion="8" refreshedVersion="8" minRefreshableVersion="3" recordCount="12" xr:uid="{DA824B23-D0EE-42DC-A9DD-10831B9881FA}">
  <cacheSource type="worksheet">
    <worksheetSource ref="A1:C13" sheet="Sheet1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 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s v="500 "/>
  </r>
  <r>
    <x v="0"/>
    <x v="1"/>
    <s v="200 "/>
  </r>
  <r>
    <x v="1"/>
    <x v="0"/>
    <s v="700 "/>
  </r>
  <r>
    <x v="1"/>
    <x v="2"/>
    <s v="400 "/>
  </r>
  <r>
    <x v="2"/>
    <x v="1"/>
    <s v="150 "/>
  </r>
  <r>
    <x v="2"/>
    <x v="0"/>
    <s v="600 "/>
  </r>
  <r>
    <x v="3"/>
    <x v="2"/>
    <s v="800 "/>
  </r>
  <r>
    <x v="3"/>
    <x v="1"/>
    <s v="300 "/>
  </r>
  <r>
    <x v="4"/>
    <x v="0"/>
    <s v="250 "/>
  </r>
  <r>
    <x v="4"/>
    <x v="2"/>
    <s v="300 "/>
  </r>
  <r>
    <x v="5"/>
    <x v="1"/>
    <s v="600 "/>
  </r>
  <r>
    <x v="5"/>
    <x v="0"/>
    <s v="400 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3BD4E5-2D19-4742-86DD-1325D9FD9668}" name="PivotTable1" cacheId="2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1" firstHeaderRow="1" firstDataRow="2" firstDataCol="1"/>
  <pivotFields count="3">
    <pivotField axis="axisRow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Col" compact="0" outline="0" showAll="0">
      <items count="4">
        <item x="0"/>
        <item x="2"/>
        <item x="1"/>
        <item t="default"/>
      </items>
    </pivotField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Sales Volume 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opLeftCell="B4" workbookViewId="0">
      <selection activeCell="F4" sqref="F4"/>
    </sheetView>
  </sheetViews>
  <sheetFormatPr defaultRowHeight="15"/>
  <cols>
    <col min="1" max="1" width="23.7109375" customWidth="1"/>
    <col min="2" max="2" width="24.5703125" customWidth="1"/>
    <col min="3" max="3" width="13.140625" style="5" customWidth="1"/>
    <col min="4" max="4" width="12.140625" style="3" customWidth="1"/>
    <col min="5" max="5" width="17.85546875" style="3" customWidth="1"/>
    <col min="6" max="6" width="46.5703125" customWidth="1"/>
    <col min="8" max="8" width="24" style="5" bestFit="1" customWidth="1"/>
    <col min="9" max="9" width="26" style="5" bestFit="1" customWidth="1"/>
  </cols>
  <sheetData>
    <row r="1" spans="1:9" ht="23.25">
      <c r="A1" s="1" t="s">
        <v>0</v>
      </c>
    </row>
    <row r="3" spans="1:9" ht="44.25" customHeight="1">
      <c r="A3" s="2" t="s">
        <v>1</v>
      </c>
      <c r="B3" s="2" t="s">
        <v>2</v>
      </c>
      <c r="C3" s="6" t="s">
        <v>3</v>
      </c>
      <c r="D3" s="4" t="s">
        <v>4</v>
      </c>
      <c r="E3" s="4" t="s">
        <v>5</v>
      </c>
    </row>
    <row r="4" spans="1:9">
      <c r="A4" t="s">
        <v>6</v>
      </c>
      <c r="B4" t="s">
        <v>7</v>
      </c>
      <c r="C4" s="7">
        <v>12</v>
      </c>
      <c r="D4" s="3">
        <v>3</v>
      </c>
      <c r="E4" s="3" cm="1">
        <f t="array" ref="E4">_xlfn.SWITCH(D4,1,95,2,110,3,129,4,156,5,"157 and over","unknown")</f>
        <v>129</v>
      </c>
      <c r="F4" cm="1">
        <f t="array" ref="F4">_xlfn.SWITCH(D4,$H$10,$I$10,$H$9,$I$9,$H$8,$I$8,$H$7,$I$7,$H$6,$I$6,"unknown")</f>
        <v>129</v>
      </c>
      <c r="H4" s="5" t="s">
        <v>8</v>
      </c>
    </row>
    <row r="5" spans="1:9">
      <c r="A5" t="s">
        <v>9</v>
      </c>
      <c r="B5" t="s">
        <v>10</v>
      </c>
      <c r="C5" s="7">
        <v>1</v>
      </c>
      <c r="D5" s="3">
        <v>3</v>
      </c>
      <c r="E5" s="3" cm="1">
        <f t="array" ref="E5">_xlfn.SWITCH(D5,1,95,2,110,3,129,4,156,5,"157 and over","unknown")</f>
        <v>129</v>
      </c>
      <c r="F5" cm="1">
        <f t="array" ref="F5">_xlfn.SWITCH(D5,$H$10,$I$10,$H$9,$I$9,$H$8,$I$8,$H$7,$I$7,$H$6,$I$6,"unknown")</f>
        <v>129</v>
      </c>
      <c r="H5" s="8" t="s">
        <v>11</v>
      </c>
      <c r="I5" s="8" t="s">
        <v>5</v>
      </c>
    </row>
    <row r="6" spans="1:9">
      <c r="A6" t="s">
        <v>12</v>
      </c>
      <c r="B6" t="s">
        <v>13</v>
      </c>
      <c r="C6" s="7">
        <v>5</v>
      </c>
      <c r="D6" s="3">
        <v>4</v>
      </c>
      <c r="E6" s="3" cm="1">
        <f t="array" ref="E6">_xlfn.SWITCH(D6,1,95,2,110,3,129,4,156,5,"157 and over","unknown")</f>
        <v>156</v>
      </c>
      <c r="F6" cm="1">
        <f t="array" ref="F6">_xlfn.SWITCH(D6,$H$10,$I$10,$H$9,$I$9,$H$8,$I$8,$H$7,$I$7,$H$6,$I$6,"unknown")</f>
        <v>156</v>
      </c>
      <c r="H6" s="5">
        <v>5</v>
      </c>
      <c r="I6" s="5" t="s">
        <v>14</v>
      </c>
    </row>
    <row r="7" spans="1:9">
      <c r="A7" t="s">
        <v>15</v>
      </c>
      <c r="B7" t="s">
        <v>16</v>
      </c>
      <c r="C7" s="7">
        <v>20</v>
      </c>
      <c r="D7" s="3">
        <v>4</v>
      </c>
      <c r="E7" s="3" cm="1">
        <f t="array" ref="E7">_xlfn.SWITCH(D7,1,95,2,110,3,129,4,156,5,"157 and over","unknown")</f>
        <v>156</v>
      </c>
      <c r="F7" cm="1">
        <f t="array" ref="F7">_xlfn.SWITCH(D7,$H$10,$I$10,$H$9,$I$9,$H$8,$I$8,$H$7,$I$7,$H$6,$I$6,"unknown")</f>
        <v>156</v>
      </c>
      <c r="H7" s="5">
        <v>4</v>
      </c>
      <c r="I7" s="5">
        <v>156</v>
      </c>
    </row>
    <row r="8" spans="1:9">
      <c r="A8" t="s">
        <v>17</v>
      </c>
      <c r="B8" t="s">
        <v>18</v>
      </c>
      <c r="C8" s="7">
        <v>20</v>
      </c>
      <c r="D8" s="3">
        <v>4</v>
      </c>
      <c r="E8" s="3" cm="1">
        <f t="array" ref="E8">_xlfn.SWITCH(D8,1,95,2,110,3,129,4,156,5,"157 and over","unknown")</f>
        <v>156</v>
      </c>
      <c r="F8" cm="1">
        <f t="array" ref="F8">_xlfn.SWITCH(D8,$H$10,$I$10,$H$9,$I$9,$H$8,$I$8,$H$7,$I$7,$H$6,$I$6,"unknown")</f>
        <v>156</v>
      </c>
      <c r="H8" s="5">
        <v>3</v>
      </c>
      <c r="I8" s="5">
        <v>129</v>
      </c>
    </row>
    <row r="9" spans="1:9">
      <c r="A9" t="s">
        <v>19</v>
      </c>
      <c r="B9" t="s">
        <v>20</v>
      </c>
      <c r="C9" s="7">
        <v>50</v>
      </c>
      <c r="D9" s="3">
        <v>3</v>
      </c>
      <c r="E9" s="3" cm="1">
        <f t="array" ref="E9">_xlfn.SWITCH(D9,1,95,2,110,3,129,4,156,5,"157 and over","unknown")</f>
        <v>129</v>
      </c>
      <c r="F9" cm="1">
        <f t="array" ref="F9">_xlfn.SWITCH(D9,$H$10,$I$10,$H$9,$I$9,$H$8,$I$8,$H$7,$I$7,$H$6,$I$6,"unknown")</f>
        <v>129</v>
      </c>
      <c r="H9" s="5">
        <v>2</v>
      </c>
      <c r="I9" s="5">
        <v>110</v>
      </c>
    </row>
    <row r="10" spans="1:9">
      <c r="A10" t="s">
        <v>21</v>
      </c>
      <c r="B10" t="s">
        <v>22</v>
      </c>
      <c r="C10" s="7">
        <v>100</v>
      </c>
      <c r="D10" s="3">
        <v>5</v>
      </c>
      <c r="E10" s="3" t="str" cm="1">
        <f t="array" ref="E10">_xlfn.SWITCH(D10,1,95,2,110,3,129,4,156,5,"157 and over","unknown")</f>
        <v>157 and over</v>
      </c>
      <c r="F10" t="str" cm="1">
        <f t="array" ref="F10">_xlfn.SWITCH(D10,$H$10,$I$10,$H$9,$I$9,$H$8,$I$8,$H$7,$I$7,$H$6,$I$6,"unknown")</f>
        <v>157 and over</v>
      </c>
      <c r="H10" s="5">
        <v>1</v>
      </c>
      <c r="I10" s="5">
        <v>95</v>
      </c>
    </row>
    <row r="11" spans="1:9">
      <c r="A11" t="s">
        <v>23</v>
      </c>
      <c r="B11" t="s">
        <v>24</v>
      </c>
      <c r="C11" s="7">
        <v>50</v>
      </c>
      <c r="D11" s="3">
        <v>4</v>
      </c>
      <c r="E11" s="3" cm="1">
        <f t="array" ref="E11">_xlfn.SWITCH(D11,1,95,2,110,3,129,4,156,5,"157 and over","unknown")</f>
        <v>156</v>
      </c>
      <c r="F11" cm="1">
        <f t="array" ref="F11">_xlfn.SWITCH(D11,$H$10,$I$10,$H$9,$I$9,$H$8,$I$8,$H$7,$I$7,$H$6,$I$6,"unknown")</f>
        <v>156</v>
      </c>
    </row>
    <row r="12" spans="1:9">
      <c r="A12" t="s">
        <v>25</v>
      </c>
      <c r="B12" t="s">
        <v>26</v>
      </c>
      <c r="C12" s="7">
        <v>7.5</v>
      </c>
      <c r="D12" s="3">
        <v>4</v>
      </c>
      <c r="E12" s="3" cm="1">
        <f t="array" ref="E12">_xlfn.SWITCH(D12,1,95,2,110,3,129,4,156,5,"157 and over","unknown")</f>
        <v>156</v>
      </c>
      <c r="F12" cm="1">
        <f t="array" ref="F12">_xlfn.SWITCH(D12,$H$10,$I$10,$H$9,$I$9,$H$8,$I$8,$H$7,$I$7,$H$6,$I$6,"unknown")</f>
        <v>156</v>
      </c>
    </row>
    <row r="13" spans="1:9">
      <c r="A13" t="s">
        <v>27</v>
      </c>
      <c r="B13" t="s">
        <v>28</v>
      </c>
      <c r="C13" s="7">
        <v>40</v>
      </c>
      <c r="D13" s="3">
        <v>5</v>
      </c>
      <c r="E13" s="3" t="str" cm="1">
        <f t="array" ref="E13">_xlfn.SWITCH(D13,1,95,2,110,3,129,4,156,5,"157 and over","unknown")</f>
        <v>157 and over</v>
      </c>
      <c r="F13" t="str" cm="1">
        <f t="array" ref="F13">_xlfn.SWITCH(D13,$H$10,$I$10,$H$9,$I$9,$H$8,$I$8,$H$7,$I$7,$H$6,$I$6,"unknown")</f>
        <v>157 and over</v>
      </c>
    </row>
    <row r="14" spans="1:9">
      <c r="A14" t="s">
        <v>29</v>
      </c>
      <c r="B14" t="s">
        <v>30</v>
      </c>
      <c r="C14" s="7">
        <v>2.6</v>
      </c>
      <c r="D14" s="3">
        <v>2</v>
      </c>
      <c r="E14" s="3" cm="1">
        <f t="array" ref="E14">_xlfn.SWITCH(D14,1,95,2,110,3,129,4,156,5,"157 and over","unknown")</f>
        <v>110</v>
      </c>
      <c r="F14" cm="1">
        <f t="array" ref="F14">_xlfn.SWITCH(D14,$H$10,$I$10,$H$9,$I$9,$H$8,$I$8,$H$7,$I$7,$H$6,$I$6,"unknown")</f>
        <v>110</v>
      </c>
    </row>
    <row r="15" spans="1:9">
      <c r="A15" t="s">
        <v>31</v>
      </c>
      <c r="B15" t="s">
        <v>32</v>
      </c>
      <c r="C15" s="7">
        <v>16</v>
      </c>
      <c r="D15" s="3">
        <v>1</v>
      </c>
      <c r="E15" s="3" cm="1">
        <f t="array" ref="E15">_xlfn.SWITCH(D15,1,95,2,110,3,129,4,156,5,"157 and over","unknown")</f>
        <v>95</v>
      </c>
      <c r="F15" cm="1">
        <f t="array" ref="F15">_xlfn.SWITCH(D15,$H$10,$I$10,$H$9,$I$9,$H$8,$I$8,$H$7,$I$7,$H$6,$I$6,"unknown")</f>
        <v>95</v>
      </c>
    </row>
    <row r="16" spans="1:9">
      <c r="A16" t="s">
        <v>33</v>
      </c>
      <c r="B16" t="s">
        <v>34</v>
      </c>
      <c r="C16" s="7">
        <v>529</v>
      </c>
      <c r="D16" s="3">
        <v>4</v>
      </c>
      <c r="E16" s="3" cm="1">
        <f t="array" ref="E16">_xlfn.SWITCH(D16,1,95,2,110,3,129,4,156,5,"157 and over","unknown")</f>
        <v>156</v>
      </c>
      <c r="F16" cm="1">
        <f t="array" ref="F16">_xlfn.SWITCH(D16,$H$10,$I$10,$H$9,$I$9,$H$8,$I$8,$H$7,$I$7,$H$6,$I$6,"unknown")</f>
        <v>156</v>
      </c>
    </row>
    <row r="17" spans="1:6">
      <c r="A17" t="s">
        <v>35</v>
      </c>
      <c r="B17" t="s">
        <v>36</v>
      </c>
      <c r="C17" s="7">
        <v>1800</v>
      </c>
      <c r="D17" s="3">
        <v>2</v>
      </c>
      <c r="E17" s="3" cm="1">
        <f t="array" ref="E17">_xlfn.SWITCH(D17,1,95,2,110,3,129,4,156,5,"157 and over","unknown")</f>
        <v>110</v>
      </c>
      <c r="F17" cm="1">
        <f t="array" ref="F17">_xlfn.SWITCH(D17,$H$10,$I$10,$H$9,$I$9,$H$8,$I$8,$H$7,$I$7,$H$6,$I$6,"unknown")</f>
        <v>110</v>
      </c>
    </row>
    <row r="18" spans="1:6">
      <c r="A18" t="s">
        <v>37</v>
      </c>
      <c r="B18" t="s">
        <v>38</v>
      </c>
      <c r="C18" s="7">
        <v>1540</v>
      </c>
      <c r="D18" s="3">
        <v>5</v>
      </c>
      <c r="E18" s="3" t="str" cm="1">
        <f t="array" ref="E18">_xlfn.SWITCH(D18,1,95,2,110,3,129,4,156,5,"157 and over","unknown")</f>
        <v>157 and over</v>
      </c>
      <c r="F18" t="str" cm="1">
        <f t="array" ref="F18">_xlfn.SWITCH(D18,$H$10,$I$10,$H$9,$I$9,$H$8,$I$8,$H$7,$I$7,$H$6,$I$6,"unknown")</f>
        <v>157 and over</v>
      </c>
    </row>
    <row r="19" spans="1:6">
      <c r="A19" t="s">
        <v>39</v>
      </c>
      <c r="B19" t="s">
        <v>40</v>
      </c>
      <c r="C19" s="7">
        <v>594</v>
      </c>
      <c r="D19" s="3">
        <v>1</v>
      </c>
      <c r="E19" s="3" cm="1">
        <f t="array" ref="E19">_xlfn.SWITCH(D19,1,95,2,110,3,129,4,156,5,"157 and over","unknown")</f>
        <v>95</v>
      </c>
      <c r="F19" cm="1">
        <f t="array" ref="F19">_xlfn.SWITCH(D19,$H$10,$I$10,$H$9,$I$9,$H$8,$I$8,$H$7,$I$7,$H$6,$I$6,"unknown")</f>
        <v>95</v>
      </c>
    </row>
    <row r="20" spans="1:6">
      <c r="A20" t="s">
        <v>41</v>
      </c>
      <c r="B20" t="s">
        <v>42</v>
      </c>
      <c r="C20" s="7">
        <v>6200</v>
      </c>
      <c r="D20" s="3">
        <v>5</v>
      </c>
      <c r="E20" s="3" t="str" cm="1">
        <f t="array" ref="E20">_xlfn.SWITCH(D20,1,95,2,110,3,129,4,156,5,"157 and over","unknown")</f>
        <v>157 and over</v>
      </c>
      <c r="F20" t="str" cm="1">
        <f t="array" ref="F20">_xlfn.SWITCH(D20,$H$10,$I$10,$H$9,$I$9,$H$8,$I$8,$H$7,$I$7,$H$6,$I$6,"unknown")</f>
        <v>157 and over</v>
      </c>
    </row>
    <row r="21" spans="1:6">
      <c r="A21" t="s">
        <v>43</v>
      </c>
      <c r="B21" t="s">
        <v>44</v>
      </c>
      <c r="C21" s="7">
        <v>7660</v>
      </c>
      <c r="D21" s="3">
        <v>3</v>
      </c>
      <c r="E21" s="3" cm="1">
        <f t="array" ref="E21">_xlfn.SWITCH(D21,1,95,2,110,3,129,4,156,5,"157 and over","unknown")</f>
        <v>129</v>
      </c>
      <c r="F21" cm="1">
        <f t="array" ref="F21">_xlfn.SWITCH(D21,$H$10,$I$10,$H$9,$I$9,$H$8,$I$8,$H$7,$I$7,$H$6,$I$6,"unknown")</f>
        <v>129</v>
      </c>
    </row>
    <row r="22" spans="1:6">
      <c r="A22" t="s">
        <v>45</v>
      </c>
      <c r="B22" t="s">
        <v>46</v>
      </c>
      <c r="C22" s="7">
        <v>108000</v>
      </c>
      <c r="D22" s="3">
        <v>5</v>
      </c>
      <c r="E22" s="3" t="str" cm="1">
        <f t="array" ref="E22">_xlfn.SWITCH(D22,1,95,2,110,3,129,4,156,5,"157 and over","unknown")</f>
        <v>157 and over</v>
      </c>
      <c r="F22" t="str" cm="1">
        <f t="array" ref="F22">_xlfn.SWITCH(D22,$H$10,$I$10,$H$9,$I$9,$H$8,$I$8,$H$7,$I$7,$H$6,$I$6,"unknown")</f>
        <v>157 and over</v>
      </c>
    </row>
    <row r="23" spans="1:6">
      <c r="A23" t="s">
        <v>47</v>
      </c>
      <c r="B23" t="s">
        <v>48</v>
      </c>
      <c r="C23" s="7">
        <v>3960</v>
      </c>
      <c r="D23" s="3">
        <v>1</v>
      </c>
      <c r="E23" s="3" cm="1">
        <f t="array" ref="E23">_xlfn.SWITCH(D23,1,95,2,110,3,129,4,156,5,"157 and over","unknown")</f>
        <v>95</v>
      </c>
      <c r="F23" cm="1">
        <f t="array" ref="F23">_xlfn.SWITCH(D23,$H$10,$I$10,$H$9,$I$9,$H$8,$I$8,$H$7,$I$7,$H$6,$I$6,"unknown")</f>
        <v>95</v>
      </c>
    </row>
    <row r="24" spans="1:6">
      <c r="A24" t="s">
        <v>49</v>
      </c>
      <c r="B24" t="s">
        <v>50</v>
      </c>
      <c r="C24" s="7">
        <v>300000</v>
      </c>
      <c r="D24" s="3">
        <v>5</v>
      </c>
      <c r="E24" s="3" t="str" cm="1">
        <f t="array" ref="E24">_xlfn.SWITCH(D24,1,95,2,110,3,129,4,156,5,"157 and over","unknown")</f>
        <v>157 and over</v>
      </c>
      <c r="F24" t="str" cm="1">
        <f t="array" ref="F24">_xlfn.SWITCH(D24,$H$10,$I$10,$H$9,$I$9,$H$8,$I$8,$H$7,$I$7,$H$6,$I$6,"unknown")</f>
        <v>157 and over</v>
      </c>
    </row>
    <row r="25" spans="1:6">
      <c r="C25" s="7"/>
      <c r="E25" s="3" t="str" cm="1">
        <f t="array" ref="E25">_xlfn.SWITCH(D25,1,95,2,110,3,129,4,156,5,"157 and over","unknown")</f>
        <v>unknown</v>
      </c>
      <c r="F25" t="str" cm="1">
        <f t="array" ref="F25">_xlfn.SWITCH(D25,$H$10,$I$10,$H$9,$I$9,$H$8,$I$8,$H$7,$I$7,$H$6,$I$6,"unknown")</f>
        <v>unknown</v>
      </c>
    </row>
    <row r="26" spans="1:6">
      <c r="C26" s="7"/>
      <c r="E26" s="3" t="str" cm="1">
        <f t="array" ref="E26">_xlfn.SWITCH(D26,1,95,2,110,3,129,4,156,5,"157 and over","unknown")</f>
        <v>unknown</v>
      </c>
      <c r="F26" t="str" cm="1">
        <f t="array" ref="F26">_xlfn.SWITCH(D26,$H$10,$I$10,$H$9,$I$9,$H$8,$I$8,$H$7,$I$7,$H$6,$I$6,"unknown")</f>
        <v>unknown</v>
      </c>
    </row>
    <row r="27" spans="1:6">
      <c r="C27" s="7"/>
      <c r="E27" s="3" t="str" cm="1">
        <f t="array" ref="E27">_xlfn.SWITCH(D27,1,95,2,110,3,129,4,156,5,"157 and over","unknown")</f>
        <v>unknown</v>
      </c>
      <c r="F27" t="str" cm="1">
        <f t="array" ref="F27">_xlfn.SWITCH(D27,$H$10,$I$10,$H$9,$I$9,$H$8,$I$8,$H$7,$I$7,$H$6,$I$6,"unknown")</f>
        <v>unknown</v>
      </c>
    </row>
    <row r="28" spans="1:6">
      <c r="C28" s="7"/>
      <c r="E28" s="3" t="str" cm="1">
        <f t="array" ref="E28">_xlfn.SWITCH(D28,1,95,2,110,3,129,4,156,5,"157 and over","unknown")</f>
        <v>unknown</v>
      </c>
      <c r="F28" t="str" cm="1">
        <f t="array" ref="F28">_xlfn.SWITCH(D28,$H$10,$I$10,$H$9,$I$9,$H$8,$I$8,$H$7,$I$7,$H$6,$I$6,"unknown")</f>
        <v>unknown</v>
      </c>
    </row>
    <row r="29" spans="1:6">
      <c r="C29" s="7"/>
      <c r="E29" s="3" t="str" cm="1">
        <f t="array" ref="E29">_xlfn.SWITCH(D29,1,95,2,110,3,129,4,156,5,"157 and over","unknown")</f>
        <v>unknown</v>
      </c>
      <c r="F29" t="str" cm="1">
        <f t="array" ref="F29">_xlfn.SWITCH(D29,$H$10,$I$10,$H$9,$I$9,$H$8,$I$8,$H$7,$I$7,$H$6,$I$6,"unknown")</f>
        <v>unknown</v>
      </c>
    </row>
    <row r="30" spans="1:6">
      <c r="C30" s="7"/>
    </row>
    <row r="31" spans="1:6">
      <c r="C31" s="7"/>
    </row>
    <row r="32" spans="1:6">
      <c r="C32" s="7"/>
    </row>
    <row r="33" spans="3:3">
      <c r="C33" s="7"/>
    </row>
    <row r="34" spans="3:3">
      <c r="C34" s="7"/>
    </row>
    <row r="35" spans="3:3">
      <c r="C35" s="7"/>
    </row>
    <row r="36" spans="3:3">
      <c r="C36" s="7"/>
    </row>
    <row r="37" spans="3:3">
      <c r="C37" s="7"/>
    </row>
    <row r="38" spans="3:3">
      <c r="C38" s="7"/>
    </row>
    <row r="39" spans="3:3">
      <c r="C39" s="7"/>
    </row>
    <row r="40" spans="3:3">
      <c r="C40" s="7"/>
    </row>
    <row r="41" spans="3:3">
      <c r="C41" s="7"/>
    </row>
    <row r="42" spans="3:3">
      <c r="C42" s="7"/>
    </row>
    <row r="43" spans="3:3">
      <c r="C43" s="7"/>
    </row>
    <row r="44" spans="3:3">
      <c r="C44" s="7"/>
    </row>
    <row r="45" spans="3:3">
      <c r="C45" s="7"/>
    </row>
    <row r="46" spans="3:3">
      <c r="C46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4FEE-36A3-48A8-A6CB-2B5E4C88E7D3}">
  <dimension ref="A3:F11"/>
  <sheetViews>
    <sheetView tabSelected="1" workbookViewId="0">
      <selection activeCell="F4" sqref="F4"/>
    </sheetView>
  </sheetViews>
  <sheetFormatPr defaultRowHeight="15"/>
  <cols>
    <col min="1" max="1" width="22" bestFit="1" customWidth="1"/>
    <col min="2" max="2" width="11.7109375" bestFit="1" customWidth="1"/>
    <col min="3" max="3" width="8.5703125" bestFit="1" customWidth="1"/>
    <col min="4" max="4" width="13.5703125" bestFit="1" customWidth="1"/>
    <col min="5" max="5" width="11.7109375" bestFit="1" customWidth="1"/>
    <col min="6" max="6" width="12" customWidth="1"/>
    <col min="10" max="10" width="15.28515625" customWidth="1"/>
  </cols>
  <sheetData>
    <row r="3" spans="1:6">
      <c r="A3" s="15" t="s">
        <v>51</v>
      </c>
      <c r="B3" s="15" t="s">
        <v>52</v>
      </c>
    </row>
    <row r="4" spans="1:6">
      <c r="A4" s="15" t="s">
        <v>53</v>
      </c>
      <c r="B4" t="s">
        <v>54</v>
      </c>
      <c r="C4" t="s">
        <v>55</v>
      </c>
      <c r="D4" t="s">
        <v>56</v>
      </c>
      <c r="E4" t="s">
        <v>57</v>
      </c>
      <c r="F4" s="16"/>
    </row>
    <row r="5" spans="1:6">
      <c r="A5" t="s">
        <v>58</v>
      </c>
      <c r="B5">
        <v>1</v>
      </c>
      <c r="C5">
        <v>1</v>
      </c>
      <c r="E5">
        <v>2</v>
      </c>
    </row>
    <row r="6" spans="1:6">
      <c r="A6" t="s">
        <v>59</v>
      </c>
      <c r="B6">
        <v>1</v>
      </c>
      <c r="C6">
        <v>1</v>
      </c>
      <c r="E6">
        <v>2</v>
      </c>
    </row>
    <row r="7" spans="1:6">
      <c r="A7" t="s">
        <v>60</v>
      </c>
      <c r="C7">
        <v>1</v>
      </c>
      <c r="D7">
        <v>1</v>
      </c>
      <c r="E7">
        <v>2</v>
      </c>
    </row>
    <row r="8" spans="1:6">
      <c r="A8" t="s">
        <v>61</v>
      </c>
      <c r="B8">
        <v>1</v>
      </c>
      <c r="D8">
        <v>1</v>
      </c>
      <c r="E8">
        <v>2</v>
      </c>
    </row>
    <row r="9" spans="1:6">
      <c r="A9" t="s">
        <v>62</v>
      </c>
      <c r="B9">
        <v>1</v>
      </c>
      <c r="D9">
        <v>1</v>
      </c>
      <c r="E9">
        <v>2</v>
      </c>
    </row>
    <row r="10" spans="1:6">
      <c r="A10" t="s">
        <v>63</v>
      </c>
      <c r="B10">
        <v>1</v>
      </c>
      <c r="D10">
        <v>1</v>
      </c>
      <c r="E10">
        <v>2</v>
      </c>
    </row>
    <row r="11" spans="1:6">
      <c r="A11" t="s">
        <v>57</v>
      </c>
      <c r="B11">
        <v>5</v>
      </c>
      <c r="C11">
        <v>3</v>
      </c>
      <c r="D11">
        <v>4</v>
      </c>
      <c r="E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2D0C-F17F-4B2D-A735-26CA6B168B8C}">
  <dimension ref="A1:J13"/>
  <sheetViews>
    <sheetView workbookViewId="0">
      <selection activeCell="F4" sqref="F4"/>
    </sheetView>
  </sheetViews>
  <sheetFormatPr defaultRowHeight="15"/>
  <cols>
    <col min="1" max="1" width="22.28515625" customWidth="1"/>
    <col min="2" max="2" width="20.7109375" customWidth="1"/>
    <col min="3" max="3" width="24.7109375" style="3" customWidth="1"/>
    <col min="4" max="4" width="20" customWidth="1"/>
    <col min="6" max="6" width="20" customWidth="1"/>
    <col min="7" max="7" width="9.140625" customWidth="1"/>
  </cols>
  <sheetData>
    <row r="1" spans="1:10" ht="17.25">
      <c r="A1" s="9" t="s">
        <v>64</v>
      </c>
      <c r="B1" s="10" t="s">
        <v>65</v>
      </c>
      <c r="C1" s="17" t="s">
        <v>66</v>
      </c>
      <c r="D1" s="16" t="s">
        <v>67</v>
      </c>
    </row>
    <row r="2" spans="1:10" ht="17.25">
      <c r="A2" s="11" t="s">
        <v>63</v>
      </c>
      <c r="B2" s="12" t="s">
        <v>54</v>
      </c>
      <c r="C2" s="18">
        <v>500</v>
      </c>
      <c r="D2" t="str" cm="1">
        <f t="array" ref="D2">_xlfn.SWITCH(TRUE,C2&gt;600, "High",C2&gt;= 300,"Medium","Low")</f>
        <v>Medium</v>
      </c>
    </row>
    <row r="3" spans="1:10" ht="17.25">
      <c r="A3" s="11" t="s">
        <v>63</v>
      </c>
      <c r="B3" s="12" t="s">
        <v>56</v>
      </c>
      <c r="C3" s="18">
        <v>200</v>
      </c>
      <c r="D3" t="str" cm="1">
        <f t="array" ref="D3">_xlfn.SWITCH(TRUE,C3&gt;600, "High",C3&gt;= 300,"Medium","Low")</f>
        <v>Low</v>
      </c>
      <c r="E3" s="20"/>
    </row>
    <row r="4" spans="1:10" ht="17.25">
      <c r="A4" s="11" t="s">
        <v>58</v>
      </c>
      <c r="B4" s="12" t="s">
        <v>54</v>
      </c>
      <c r="C4" s="18">
        <v>700</v>
      </c>
      <c r="D4" t="str" cm="1">
        <f t="array" ref="D4">_xlfn.SWITCH(TRUE,C4&gt;600, "High",C4&gt;= 300,"Medium","Low")</f>
        <v>High</v>
      </c>
      <c r="G4" cm="1">
        <f t="array" ref="G4:G12">_xlfn.UNIQUE(C2:C13)</f>
        <v>500</v>
      </c>
      <c r="J4" t="s">
        <v>68</v>
      </c>
    </row>
    <row r="5" spans="1:10" ht="17.25">
      <c r="A5" s="11" t="s">
        <v>58</v>
      </c>
      <c r="B5" s="12" t="s">
        <v>55</v>
      </c>
      <c r="C5" s="18">
        <v>400</v>
      </c>
      <c r="D5" t="str" cm="1">
        <f t="array" ref="D5">_xlfn.SWITCH(TRUE,C5&gt;600, "High",C5&gt;= 300,"Medium","Low")</f>
        <v>Medium</v>
      </c>
      <c r="F5" s="16"/>
      <c r="G5">
        <v>200</v>
      </c>
      <c r="J5" t="s">
        <v>69</v>
      </c>
    </row>
    <row r="6" spans="1:10" ht="17.25">
      <c r="A6" s="11" t="s">
        <v>62</v>
      </c>
      <c r="B6" s="12" t="s">
        <v>56</v>
      </c>
      <c r="C6" s="18">
        <v>150</v>
      </c>
      <c r="D6" t="str" cm="1">
        <f t="array" ref="D6">_xlfn.SWITCH(TRUE,C6&gt;600, "High",C6&gt;= 300,"Medium","Low")</f>
        <v>Low</v>
      </c>
      <c r="G6" s="16">
        <v>700</v>
      </c>
      <c r="J6" t="s">
        <v>70</v>
      </c>
    </row>
    <row r="7" spans="1:10" ht="17.25">
      <c r="A7" s="11" t="s">
        <v>62</v>
      </c>
      <c r="B7" s="12" t="s">
        <v>54</v>
      </c>
      <c r="C7" s="18">
        <v>600</v>
      </c>
      <c r="D7" t="str" cm="1">
        <f t="array" ref="D7">_xlfn.SWITCH(TRUE,C7&gt;600, "High",C7&gt;= 300,"Medium","Low")</f>
        <v>Medium</v>
      </c>
      <c r="G7">
        <v>400</v>
      </c>
    </row>
    <row r="8" spans="1:10" ht="17.25">
      <c r="A8" s="11" t="s">
        <v>60</v>
      </c>
      <c r="B8" s="12" t="s">
        <v>55</v>
      </c>
      <c r="C8" s="18">
        <v>800</v>
      </c>
      <c r="D8" t="str" cm="1">
        <f t="array" ref="D8">_xlfn.SWITCH(TRUE,C8&gt;600, "High",C8&gt;= 300,"Medium","Low")</f>
        <v>High</v>
      </c>
      <c r="G8">
        <v>150</v>
      </c>
    </row>
    <row r="9" spans="1:10" ht="17.25">
      <c r="A9" s="11" t="s">
        <v>60</v>
      </c>
      <c r="B9" s="12" t="s">
        <v>56</v>
      </c>
      <c r="C9" s="18">
        <v>300</v>
      </c>
      <c r="D9" t="str" cm="1">
        <f t="array" ref="D9">_xlfn.SWITCH(TRUE,C9&gt;600, "High",C9&gt;= 300,"Medium","Low")</f>
        <v>Medium</v>
      </c>
      <c r="G9">
        <v>600</v>
      </c>
    </row>
    <row r="10" spans="1:10" ht="17.25">
      <c r="A10" s="11" t="s">
        <v>59</v>
      </c>
      <c r="B10" s="12" t="s">
        <v>54</v>
      </c>
      <c r="C10" s="18">
        <v>250</v>
      </c>
      <c r="D10" t="str" cm="1">
        <f t="array" ref="D10">_xlfn.SWITCH(TRUE,C10&gt;600, "High",C10&gt;= 300,"Medium","Low")</f>
        <v>Low</v>
      </c>
      <c r="G10">
        <v>800</v>
      </c>
    </row>
    <row r="11" spans="1:10" ht="17.25">
      <c r="A11" s="11" t="s">
        <v>59</v>
      </c>
      <c r="B11" s="12" t="s">
        <v>55</v>
      </c>
      <c r="C11" s="18">
        <v>300</v>
      </c>
      <c r="D11" t="str" cm="1">
        <f t="array" ref="D11">_xlfn.SWITCH(TRUE,C11&gt;600, "High",C11&gt;= 300,"Medium","Low")</f>
        <v>Medium</v>
      </c>
      <c r="G11">
        <v>300</v>
      </c>
    </row>
    <row r="12" spans="1:10" ht="17.25">
      <c r="A12" s="11" t="s">
        <v>61</v>
      </c>
      <c r="B12" s="12" t="s">
        <v>56</v>
      </c>
      <c r="C12" s="18">
        <v>600</v>
      </c>
      <c r="D12" t="str" cm="1">
        <f t="array" ref="D12">_xlfn.SWITCH(TRUE,C12&gt;600, "High",C12&gt;= 300,"Medium","Low")</f>
        <v>Medium</v>
      </c>
      <c r="G12">
        <v>250</v>
      </c>
    </row>
    <row r="13" spans="1:10" ht="17.25">
      <c r="A13" s="13" t="s">
        <v>61</v>
      </c>
      <c r="B13" s="14" t="s">
        <v>54</v>
      </c>
      <c r="C13" s="19">
        <v>400</v>
      </c>
      <c r="D13" t="str" cm="1">
        <f t="array" ref="D13">_xlfn.SWITCH(TRUE,C13&gt;600, "High",C13&gt;= 300,"Medium","Low")</f>
        <v>Medium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0DA10D2-1FFF-490D-B4DA-8729470684F4}"/>
</file>

<file path=customXml/itemProps2.xml><?xml version="1.0" encoding="utf-8"?>
<ds:datastoreItem xmlns:ds="http://schemas.openxmlformats.org/officeDocument/2006/customXml" ds:itemID="{3D4E24B2-8FB1-41D6-A0B3-EA0C5EC943D2}"/>
</file>

<file path=customXml/itemProps3.xml><?xml version="1.0" encoding="utf-8"?>
<ds:datastoreItem xmlns:ds="http://schemas.openxmlformats.org/officeDocument/2006/customXml" ds:itemID="{FF1056E9-45E7-4EE1-B8ED-748AFD02223F}"/>
</file>

<file path=customXml/itemProps4.xml><?xml version="1.0" encoding="utf-8"?>
<ds:datastoreItem xmlns:ds="http://schemas.openxmlformats.org/officeDocument/2006/customXml" ds:itemID="{DCED2CD7-AB5E-404D-849A-F793ABBC6F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Shabana Tabassum</cp:lastModifiedBy>
  <cp:revision/>
  <dcterms:created xsi:type="dcterms:W3CDTF">2017-10-17T14:59:20Z</dcterms:created>
  <dcterms:modified xsi:type="dcterms:W3CDTF">2025-10-09T11:36:15Z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